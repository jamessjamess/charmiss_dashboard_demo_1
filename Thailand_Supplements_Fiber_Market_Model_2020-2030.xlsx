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[Charmiss] - Sales Overview Dashboard\Charmiss Dashboard Dev\"/>
    </mc:Choice>
  </mc:AlternateContent>
  <xr:revisionPtr revIDLastSave="0" documentId="13_ncr:1_{33CFFCF1-F6EA-4284-A6A3-48AEC6B1FB74}" xr6:coauthVersionLast="47" xr6:coauthVersionMax="47" xr10:uidLastSave="{00000000-0000-0000-0000-000000000000}"/>
  <bookViews>
    <workbookView xWindow="1464" yWindow="1464" windowWidth="17280" windowHeight="8904" xr2:uid="{00000000-000D-0000-FFFF-FFFF00000000}"/>
  </bookViews>
  <sheets>
    <sheet name="Assumptions" sheetId="1" r:id="rId1"/>
    <sheet name="Annual Table (THB Million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D18" i="2"/>
  <c r="C18" i="2"/>
  <c r="B18" i="2"/>
  <c r="E17" i="2"/>
  <c r="D17" i="2"/>
  <c r="C17" i="2"/>
  <c r="B17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</calcChain>
</file>

<file path=xl/sharedStrings.xml><?xml version="1.0" encoding="utf-8"?>
<sst xmlns="http://schemas.openxmlformats.org/spreadsheetml/2006/main" count="47" uniqueCount="46">
  <si>
    <t>Thailand Supplements &amp; Global Fiber Market Model — Assumptions</t>
  </si>
  <si>
    <t>All editable inputs are shaded yellow with blue text. Everything else recalculates automatically.</t>
  </si>
  <si>
    <t>USD → THB Exchange Rate (held constant across all years)</t>
  </si>
  <si>
    <t>Source: Xe.com, Aug 14, 2026 (mid-market rate) [5]</t>
  </si>
  <si>
    <t>Market</t>
  </si>
  <si>
    <t>Anchor Year</t>
  </si>
  <si>
    <t>Anchor Value
(USD, Millions)</t>
  </si>
  <si>
    <t>CAGR</t>
  </si>
  <si>
    <t>CAGR Basis (per source)</t>
  </si>
  <si>
    <t>Source</t>
  </si>
  <si>
    <t>Thailand Probiotics</t>
  </si>
  <si>
    <t>2025 → 2030 (report's own forecast window)</t>
  </si>
  <si>
    <t>[1] Knowledge Sourcing Intelligence LLP (2024, Dec). Thailand probiotics market - Forecasts from 2025 to 2030.</t>
  </si>
  <si>
    <t>Thailand Prebiotics</t>
  </si>
  <si>
    <t>Report horizon is 2026-2033; the single CAGR anchor point available (2023 base) is applied across all of 2020-2030 here.</t>
  </si>
  <si>
    <t>[2] Grand View Research (2025, Apr). Thailand prebiotics market size &amp; outlook, 2026-2033.</t>
  </si>
  <si>
    <t>Thailand Dietary Supplements</t>
  </si>
  <si>
    <t>[3] Grand View Research (2025). Thailand dietary supplements market report, 2030.</t>
  </si>
  <si>
    <t>Fiber Supplements – Global</t>
  </si>
  <si>
    <t>Report horizon is 2026-2034; the single CAGR anchor point available (2025 base) is applied across all of 2020-2030 here.</t>
  </si>
  <si>
    <t>[4] Fortune Business Insights (n.d.). Fiber supplements market size, share | Growth report [2034]. Retrieved Aug 14, 2026.</t>
  </si>
  <si>
    <t>Methodology &amp; caveats</t>
  </si>
  <si>
    <t>• Each market has only 1-2 real “anchor” data points from its source report (a base year + a forecast-period CAGR), not a genuine year-by-year history across 2020-2030. Every non-anchor year in the Annual Table sheet is modeled by compounding the source CAGR forward and/or backward from the anchor year — it is an estimate, not reported actual data.</t>
  </si>
  <si>
    <t>• Anchor-year values (Assumptions column C, and the matching ★ cells on the Annual Table sheet) are the only figures traceable directly to a cited source. Anchor Value (USD) is derived by dividing the THB figure originally supplied back through the 33.20 exchange rate — if the exact USD figure from the source report becomes available, replace the yellow cell in column C with it directly.</t>
  </si>
  <si>
    <t>• Holding the exchange rate constant across 2020-2030 is a simplification. USD/THB actually ranged roughly 30-37 over 2020-2026; for higher accuracy, replace the single rate in B4 with a year-by-year average rate (would require restructuring the Annual Table formulas to reference a rate per year instead of one shared rate).</t>
  </si>
  <si>
    <t>• Fiber Supplements is a GLOBAL figure, not Thailand-specific — no reliable Thailand-only fiber supplements market report was found. A Thailand-only estimate would require applying an APAC share (~38.7%) or a GDP/population proxy, which would compound the uncertainty further.</t>
  </si>
  <si>
    <t>• Compounding a single CAGR uniformly across 10 years assumes steady growth, which real markets rarely do exactly — most visibly, this model cannot capture any COVID-era (2020-2021) disruption to growth rates.</t>
  </si>
  <si>
    <t>How to use this workbook</t>
  </si>
  <si>
    <t>• Change the exchange rate in B4, or any market's Anchor Year / Anchor Value / CAGR in the yellow cells above, and every year on the ‘Annual Table (THB Million)’ sheet recalculates automatically.</t>
  </si>
  <si>
    <t>• Bold, shaded cells on the Annual Table sheet mark each market's anchor year (the one real data point) — every other cell is modeled.</t>
  </si>
  <si>
    <t>Full references</t>
  </si>
  <si>
    <t>[1] Knowledge Sourcing Intelligence LLP. (2024, December). Thailand probiotics market - Forecasts from 2025 to 2030. https://www.researchandmarkets.com/reports/5350974/thailand-probiotics-market-forecasts-from-2025</t>
  </si>
  <si>
    <t>[2] Grand View Research. (2025, April). Thailand prebiotics market size &amp; outlook, 2026-2033. https://www.grandviewresearch.com/horizon/outlook/prebiotics-market/thailand</t>
  </si>
  <si>
    <t>[3] Grand View Research. (2025). Thailand dietary supplements market report, 2030. https://www.grandviewresearch.com/industry-analysis/thailand-dietary-supplements-market-report</t>
  </si>
  <si>
    <t>[4] Fortune Business Insights. (n.d.). Fiber supplements market size, share | Growth report [2034]. Retrieved August 14, 2026, from https://www.fortunebusinessinsights.com/fiber-supplements-market-112266</t>
  </si>
  <si>
    <t>[5] Xe.com. (2026, August 14). USD to THB exchange rate. Retrieved from https://www.xe.com/en-us/currencyconverter/convert/?Amount=1&amp;From=USD&amp;To=THB</t>
  </si>
  <si>
    <t>Thailand Supplements &amp; Global Fiber Market — Annual Series, 2020-2030 (฿M THB Million)</t>
  </si>
  <si>
    <t>Bold, shaded cell = the real anchor data point from the source report. All other cells are modeled via compound CAGR (see Assumptions sheet).</t>
  </si>
  <si>
    <t>Year</t>
  </si>
  <si>
    <t>Thailand Probiotics (฿M)</t>
  </si>
  <si>
    <t>Thailand Prebiotics (฿M)</t>
  </si>
  <si>
    <t>Thailand Dietary Supplements (฿M)</t>
  </si>
  <si>
    <t>Fiber Supplements – Global (฿M)</t>
  </si>
  <si>
    <t>CAGR used</t>
  </si>
  <si>
    <t>Anchor year</t>
  </si>
  <si>
    <t>Shaded/bold cell in the table above = anchor year (real reported data point). All other years are modeled, not reported.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</si>
</sst>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1"/>
      <name val="Arial"/>
    </font>
    <font>
      <b/>
      <sz val="11"/>
      <color rgb="FF0000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9"/>
      <name val="Arial"/>
    </font>
    <font>
      <sz val="9.5"/>
      <name val="Arial"/>
    </font>
    <font>
      <sz val="9"/>
      <color rgb="FF666666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8E1E4D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2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3" fillId="0" borderId="1" xfId="0" applyFont="1" applyBorder="1"/>
    <xf numFmtId="10" fontId="3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workbookViewId="0">
      <selection sqref="A1:F1"/>
    </sheetView>
  </sheetViews>
  <sheetFormatPr defaultRowHeight="14.4" x14ac:dyDescent="0.55000000000000004"/>
  <cols>
    <col min="1" max="1" width="30" customWidth="1"/>
    <col min="2" max="2" width="14" customWidth="1"/>
    <col min="3" max="3" width="20" customWidth="1"/>
    <col min="4" max="4" width="12" customWidth="1"/>
    <col min="5" max="5" width="34" customWidth="1"/>
    <col min="6" max="6" width="55" customWidth="1"/>
  </cols>
  <sheetData>
    <row r="1" spans="1:6" ht="17.7" x14ac:dyDescent="0.6">
      <c r="A1" s="21" t="s">
        <v>0</v>
      </c>
      <c r="B1" s="17"/>
      <c r="C1" s="17"/>
      <c r="D1" s="17"/>
      <c r="E1" s="17"/>
      <c r="F1" s="17"/>
    </row>
    <row r="2" spans="1:6" x14ac:dyDescent="0.55000000000000004">
      <c r="A2" s="16" t="s">
        <v>1</v>
      </c>
      <c r="B2" s="17"/>
      <c r="C2" s="17"/>
      <c r="D2" s="17"/>
      <c r="E2" s="17"/>
      <c r="F2" s="17"/>
    </row>
    <row r="4" spans="1:6" x14ac:dyDescent="0.55000000000000004">
      <c r="A4" s="1" t="s">
        <v>2</v>
      </c>
      <c r="B4" s="2">
        <v>33.200000000000003</v>
      </c>
      <c r="C4" s="16" t="s">
        <v>3</v>
      </c>
      <c r="D4" s="17"/>
      <c r="E4" s="17"/>
      <c r="F4" s="17"/>
    </row>
    <row r="6" spans="1:6" ht="30" customHeight="1" x14ac:dyDescent="0.55000000000000004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34" customHeight="1" x14ac:dyDescent="0.55000000000000004">
      <c r="A7" s="4" t="s">
        <v>10</v>
      </c>
      <c r="B7" s="5">
        <v>2025</v>
      </c>
      <c r="C7" s="6">
        <v>239.64</v>
      </c>
      <c r="D7" s="7">
        <v>8.1900000000000001E-2</v>
      </c>
      <c r="E7" s="8" t="s">
        <v>11</v>
      </c>
      <c r="F7" s="9" t="s">
        <v>12</v>
      </c>
    </row>
    <row r="8" spans="1:6" ht="34" customHeight="1" x14ac:dyDescent="0.55000000000000004">
      <c r="A8" s="4" t="s">
        <v>13</v>
      </c>
      <c r="B8" s="5">
        <v>2023</v>
      </c>
      <c r="C8" s="6">
        <v>73.400000000000006</v>
      </c>
      <c r="D8" s="7">
        <v>0.123</v>
      </c>
      <c r="E8" s="8" t="s">
        <v>14</v>
      </c>
      <c r="F8" s="9" t="s">
        <v>15</v>
      </c>
    </row>
    <row r="9" spans="1:6" ht="34" customHeight="1" x14ac:dyDescent="0.55000000000000004">
      <c r="A9" s="4" t="s">
        <v>16</v>
      </c>
      <c r="B9" s="5">
        <v>2024</v>
      </c>
      <c r="C9" s="6">
        <v>2410</v>
      </c>
      <c r="D9" s="7">
        <v>0.107</v>
      </c>
      <c r="E9" s="8" t="s">
        <v>11</v>
      </c>
      <c r="F9" s="9" t="s">
        <v>17</v>
      </c>
    </row>
    <row r="10" spans="1:6" ht="34" customHeight="1" x14ac:dyDescent="0.55000000000000004">
      <c r="A10" s="4" t="s">
        <v>18</v>
      </c>
      <c r="B10" s="5">
        <v>2025</v>
      </c>
      <c r="C10" s="6">
        <v>10430</v>
      </c>
      <c r="D10" s="7">
        <v>8.2100000000000006E-2</v>
      </c>
      <c r="E10" s="8" t="s">
        <v>19</v>
      </c>
      <c r="F10" s="9" t="s">
        <v>20</v>
      </c>
    </row>
    <row r="13" spans="1:6" ht="16" customHeight="1" x14ac:dyDescent="0.55000000000000004">
      <c r="A13" s="20" t="s">
        <v>21</v>
      </c>
      <c r="B13" s="17"/>
      <c r="C13" s="17"/>
      <c r="D13" s="17"/>
      <c r="E13" s="17"/>
      <c r="F13" s="17"/>
    </row>
    <row r="14" spans="1:6" ht="28" customHeight="1" x14ac:dyDescent="0.55000000000000004">
      <c r="A14" s="18" t="s">
        <v>22</v>
      </c>
      <c r="B14" s="17"/>
      <c r="C14" s="17"/>
      <c r="D14" s="17"/>
      <c r="E14" s="17"/>
      <c r="F14" s="17"/>
    </row>
    <row r="15" spans="1:6" ht="28" customHeight="1" x14ac:dyDescent="0.55000000000000004">
      <c r="A15" s="18" t="s">
        <v>23</v>
      </c>
      <c r="B15" s="17"/>
      <c r="C15" s="17"/>
      <c r="D15" s="17"/>
      <c r="E15" s="17"/>
      <c r="F15" s="17"/>
    </row>
    <row r="16" spans="1:6" ht="28" customHeight="1" x14ac:dyDescent="0.55000000000000004">
      <c r="A16" s="18" t="s">
        <v>24</v>
      </c>
      <c r="B16" s="17"/>
      <c r="C16" s="17"/>
      <c r="D16" s="17"/>
      <c r="E16" s="17"/>
      <c r="F16" s="17"/>
    </row>
    <row r="17" spans="1:6" ht="28" customHeight="1" x14ac:dyDescent="0.55000000000000004">
      <c r="A17" s="18" t="s">
        <v>25</v>
      </c>
      <c r="B17" s="17"/>
      <c r="C17" s="17"/>
      <c r="D17" s="17"/>
      <c r="E17" s="17"/>
      <c r="F17" s="17"/>
    </row>
    <row r="18" spans="1:6" ht="28" customHeight="1" x14ac:dyDescent="0.55000000000000004">
      <c r="A18" s="18" t="s">
        <v>26</v>
      </c>
      <c r="B18" s="17"/>
      <c r="C18" s="17"/>
      <c r="D18" s="17"/>
      <c r="E18" s="17"/>
      <c r="F18" s="17"/>
    </row>
    <row r="19" spans="1:6" ht="16" customHeight="1" x14ac:dyDescent="0.55000000000000004">
      <c r="A19" s="18"/>
      <c r="B19" s="17"/>
      <c r="C19" s="17"/>
      <c r="D19" s="17"/>
      <c r="E19" s="17"/>
      <c r="F19" s="17"/>
    </row>
    <row r="20" spans="1:6" ht="16" customHeight="1" x14ac:dyDescent="0.55000000000000004">
      <c r="A20" s="20" t="s">
        <v>27</v>
      </c>
      <c r="B20" s="17"/>
      <c r="C20" s="17"/>
      <c r="D20" s="17"/>
      <c r="E20" s="17"/>
      <c r="F20" s="17"/>
    </row>
    <row r="21" spans="1:6" ht="28" customHeight="1" x14ac:dyDescent="0.55000000000000004">
      <c r="A21" s="18" t="s">
        <v>28</v>
      </c>
      <c r="B21" s="17"/>
      <c r="C21" s="17"/>
      <c r="D21" s="17"/>
      <c r="E21" s="17"/>
      <c r="F21" s="17"/>
    </row>
    <row r="22" spans="1:6" ht="28" customHeight="1" x14ac:dyDescent="0.55000000000000004">
      <c r="A22" s="18" t="s">
        <v>29</v>
      </c>
      <c r="B22" s="17"/>
      <c r="C22" s="17"/>
      <c r="D22" s="17"/>
      <c r="E22" s="17"/>
      <c r="F22" s="17"/>
    </row>
    <row r="25" spans="1:6" x14ac:dyDescent="0.55000000000000004">
      <c r="A25" s="1" t="s">
        <v>30</v>
      </c>
    </row>
    <row r="26" spans="1:6" ht="26.05" customHeight="1" x14ac:dyDescent="0.55000000000000004">
      <c r="A26" s="19" t="s">
        <v>31</v>
      </c>
      <c r="B26" s="17"/>
      <c r="C26" s="17"/>
      <c r="D26" s="17"/>
      <c r="E26" s="17"/>
      <c r="F26" s="17"/>
    </row>
    <row r="27" spans="1:6" ht="26.05" customHeight="1" x14ac:dyDescent="0.55000000000000004">
      <c r="A27" s="19" t="s">
        <v>32</v>
      </c>
      <c r="B27" s="17"/>
      <c r="C27" s="17"/>
      <c r="D27" s="17"/>
      <c r="E27" s="17"/>
      <c r="F27" s="17"/>
    </row>
    <row r="28" spans="1:6" ht="26.05" customHeight="1" x14ac:dyDescent="0.55000000000000004">
      <c r="A28" s="19" t="s">
        <v>33</v>
      </c>
      <c r="B28" s="17"/>
      <c r="C28" s="17"/>
      <c r="D28" s="17"/>
      <c r="E28" s="17"/>
      <c r="F28" s="17"/>
    </row>
    <row r="29" spans="1:6" ht="26.05" customHeight="1" x14ac:dyDescent="0.55000000000000004">
      <c r="A29" s="19" t="s">
        <v>34</v>
      </c>
      <c r="B29" s="17"/>
      <c r="C29" s="17"/>
      <c r="D29" s="17"/>
      <c r="E29" s="17"/>
      <c r="F29" s="17"/>
    </row>
    <row r="30" spans="1:6" ht="26.05" customHeight="1" x14ac:dyDescent="0.55000000000000004">
      <c r="A30" s="19" t="s">
        <v>35</v>
      </c>
      <c r="B30" s="17"/>
      <c r="C30" s="17"/>
      <c r="D30" s="17"/>
      <c r="E30" s="17"/>
      <c r="F30" s="17"/>
    </row>
  </sheetData>
  <mergeCells count="18">
    <mergeCell ref="A1:F1"/>
    <mergeCell ref="A29:F29"/>
    <mergeCell ref="A27:F27"/>
    <mergeCell ref="A26:F26"/>
    <mergeCell ref="A22:F22"/>
    <mergeCell ref="A17:F17"/>
    <mergeCell ref="A18:F18"/>
    <mergeCell ref="A20:F20"/>
    <mergeCell ref="A21:F21"/>
    <mergeCell ref="A15:F15"/>
    <mergeCell ref="A2:F2"/>
    <mergeCell ref="A16:F16"/>
    <mergeCell ref="A30:F30"/>
    <mergeCell ref="A28:F28"/>
    <mergeCell ref="A13:F13"/>
    <mergeCell ref="A14:F14"/>
    <mergeCell ref="C4:F4"/>
    <mergeCell ref="A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workbookViewId="0"/>
  </sheetViews>
  <sheetFormatPr defaultRowHeight="14.4" x14ac:dyDescent="0.55000000000000004"/>
  <cols>
    <col min="1" max="1" width="10" customWidth="1"/>
    <col min="2" max="5" width="24" customWidth="1"/>
  </cols>
  <sheetData>
    <row r="1" spans="1:5" ht="17.7" x14ac:dyDescent="0.6">
      <c r="A1" s="21" t="s">
        <v>36</v>
      </c>
      <c r="B1" s="17"/>
      <c r="C1" s="17"/>
      <c r="D1" s="17"/>
      <c r="E1" s="17"/>
    </row>
    <row r="2" spans="1:5" x14ac:dyDescent="0.55000000000000004">
      <c r="A2" s="16" t="s">
        <v>37</v>
      </c>
      <c r="B2" s="17"/>
      <c r="C2" s="17"/>
      <c r="D2" s="17"/>
      <c r="E2" s="17"/>
    </row>
    <row r="4" spans="1:5" ht="30" customHeight="1" x14ac:dyDescent="0.55000000000000004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</row>
    <row r="5" spans="1:5" x14ac:dyDescent="0.55000000000000004">
      <c r="A5" s="10">
        <v>2020</v>
      </c>
      <c r="B5" s="11">
        <f>Assumptions!$C$7*Assumptions!$B$4*(1+Assumptions!$D$7)^($A5-Assumptions!$B$7)</f>
        <v>5367.3731665518317</v>
      </c>
      <c r="C5" s="11">
        <f>Assumptions!$C$8*Assumptions!$B$4*(1+Assumptions!$D$8)^($A5-Assumptions!$B$8)</f>
        <v>1720.6592551923686</v>
      </c>
      <c r="D5" s="11">
        <f>Assumptions!$C$9*Assumptions!$B$4*(1+Assumptions!$D$9)^($A5-Assumptions!$B$9)</f>
        <v>53280.052336270324</v>
      </c>
      <c r="E5" s="11">
        <f>Assumptions!$C$10*Assumptions!$B$4*(1+Assumptions!$D$10)^($A5-Assumptions!$B$10)</f>
        <v>233391.69976797709</v>
      </c>
    </row>
    <row r="6" spans="1:5" x14ac:dyDescent="0.55000000000000004">
      <c r="A6" s="10">
        <v>2021</v>
      </c>
      <c r="B6" s="11">
        <f>Assumptions!$C$7*Assumptions!$B$4*(1+Assumptions!$D$7)^($A6-Assumptions!$B$7)</f>
        <v>5806.9610288924259</v>
      </c>
      <c r="C6" s="11">
        <f>Assumptions!$C$8*Assumptions!$B$4*(1+Assumptions!$D$8)^($A6-Assumptions!$B$8)</f>
        <v>1932.3003435810299</v>
      </c>
      <c r="D6" s="11">
        <f>Assumptions!$C$9*Assumptions!$B$4*(1+Assumptions!$D$9)^($A6-Assumptions!$B$9)</f>
        <v>58981.01793625125</v>
      </c>
      <c r="E6" s="11">
        <f>Assumptions!$C$10*Assumptions!$B$4*(1+Assumptions!$D$10)^($A6-Assumptions!$B$10)</f>
        <v>252553.15831892798</v>
      </c>
    </row>
    <row r="7" spans="1:5" x14ac:dyDescent="0.55000000000000004">
      <c r="A7" s="10">
        <v>2022</v>
      </c>
      <c r="B7" s="11">
        <f>Assumptions!$C$7*Assumptions!$B$4*(1+Assumptions!$D$7)^($A7-Assumptions!$B$7)</f>
        <v>6282.5511371587163</v>
      </c>
      <c r="C7" s="11">
        <f>Assumptions!$C$8*Assumptions!$B$4*(1+Assumptions!$D$8)^($A7-Assumptions!$B$8)</f>
        <v>2169.9732858414968</v>
      </c>
      <c r="D7" s="11">
        <f>Assumptions!$C$9*Assumptions!$B$4*(1+Assumptions!$D$9)^($A7-Assumptions!$B$9)</f>
        <v>65291.986855430136</v>
      </c>
      <c r="E7" s="11">
        <f>Assumptions!$C$10*Assumptions!$B$4*(1+Assumptions!$D$10)^($A7-Assumptions!$B$10)</f>
        <v>273287.77261691197</v>
      </c>
    </row>
    <row r="8" spans="1:5" x14ac:dyDescent="0.55000000000000004">
      <c r="A8" s="10">
        <v>2023</v>
      </c>
      <c r="B8" s="11">
        <f>Assumptions!$C$7*Assumptions!$B$4*(1+Assumptions!$D$7)^($A8-Assumptions!$B$7)</f>
        <v>6797.0920752920165</v>
      </c>
      <c r="C8" s="12">
        <f>Assumptions!$C$8*Assumptions!$B$4*(1+Assumptions!$D$8)^($A8-Assumptions!$B$8)</f>
        <v>2436.8800000000006</v>
      </c>
      <c r="D8" s="11">
        <f>Assumptions!$C$9*Assumptions!$B$4*(1+Assumptions!$D$9)^($A8-Assumptions!$B$9)</f>
        <v>72278.229448961167</v>
      </c>
      <c r="E8" s="11">
        <f>Assumptions!$C$10*Assumptions!$B$4*(1+Assumptions!$D$10)^($A8-Assumptions!$B$10)</f>
        <v>295724.69874876045</v>
      </c>
    </row>
    <row r="9" spans="1:5" x14ac:dyDescent="0.55000000000000004">
      <c r="A9" s="10">
        <v>2024</v>
      </c>
      <c r="B9" s="11">
        <f>Assumptions!$C$7*Assumptions!$B$4*(1+Assumptions!$D$7)^($A9-Assumptions!$B$7)</f>
        <v>7353.7739162584339</v>
      </c>
      <c r="C9" s="11">
        <f>Assumptions!$C$8*Assumptions!$B$4*(1+Assumptions!$D$8)^($A9-Assumptions!$B$8)</f>
        <v>2736.6162400000007</v>
      </c>
      <c r="D9" s="12">
        <f>Assumptions!$C$9*Assumptions!$B$4*(1+Assumptions!$D$9)^($A9-Assumptions!$B$9)</f>
        <v>80012</v>
      </c>
      <c r="E9" s="11">
        <f>Assumptions!$C$10*Assumptions!$B$4*(1+Assumptions!$D$10)^($A9-Assumptions!$B$10)</f>
        <v>320003.69651603367</v>
      </c>
    </row>
    <row r="10" spans="1:5" x14ac:dyDescent="0.55000000000000004">
      <c r="A10" s="10">
        <v>2025</v>
      </c>
      <c r="B10" s="12">
        <f>Assumptions!$C$7*Assumptions!$B$4*(1+Assumptions!$D$7)^($A10-Assumptions!$B$7)</f>
        <v>7956.0479999999998</v>
      </c>
      <c r="C10" s="11">
        <f>Assumptions!$C$8*Assumptions!$B$4*(1+Assumptions!$D$8)^($A10-Assumptions!$B$8)</f>
        <v>3073.2200375200005</v>
      </c>
      <c r="D10" s="11">
        <f>Assumptions!$C$9*Assumptions!$B$4*(1+Assumptions!$D$9)^($A10-Assumptions!$B$9)</f>
        <v>88573.284</v>
      </c>
      <c r="E10" s="12">
        <f>Assumptions!$C$10*Assumptions!$B$4*(1+Assumptions!$D$10)^($A10-Assumptions!$B$10)</f>
        <v>346276.00000000006</v>
      </c>
    </row>
    <row r="11" spans="1:5" x14ac:dyDescent="0.55000000000000004">
      <c r="A11" s="10">
        <v>2026</v>
      </c>
      <c r="B11" s="11">
        <f>Assumptions!$C$7*Assumptions!$B$4*(1+Assumptions!$D$7)^($A11-Assumptions!$B$7)</f>
        <v>8607.6483312</v>
      </c>
      <c r="C11" s="11">
        <f>Assumptions!$C$8*Assumptions!$B$4*(1+Assumptions!$D$8)^($A11-Assumptions!$B$8)</f>
        <v>3451.2261021349605</v>
      </c>
      <c r="D11" s="11">
        <f>Assumptions!$C$9*Assumptions!$B$4*(1+Assumptions!$D$9)^($A11-Assumptions!$B$9)</f>
        <v>98050.625388</v>
      </c>
      <c r="E11" s="11">
        <f>Assumptions!$C$10*Assumptions!$B$4*(1+Assumptions!$D$10)^($A11-Assumptions!$B$10)</f>
        <v>374705.25960000011</v>
      </c>
    </row>
    <row r="12" spans="1:5" x14ac:dyDescent="0.55000000000000004">
      <c r="A12" s="10">
        <v>2027</v>
      </c>
      <c r="B12" s="11">
        <f>Assumptions!$C$7*Assumptions!$B$4*(1+Assumptions!$D$7)^($A12-Assumptions!$B$7)</f>
        <v>9312.6147295252813</v>
      </c>
      <c r="C12" s="11">
        <f>Assumptions!$C$8*Assumptions!$B$4*(1+Assumptions!$D$8)^($A12-Assumptions!$B$8)</f>
        <v>3875.7269126975607</v>
      </c>
      <c r="D12" s="11">
        <f>Assumptions!$C$9*Assumptions!$B$4*(1+Assumptions!$D$9)^($A12-Assumptions!$B$9)</f>
        <v>108542.042304516</v>
      </c>
      <c r="E12" s="11">
        <f>Assumptions!$C$10*Assumptions!$B$4*(1+Assumptions!$D$10)^($A12-Assumptions!$B$10)</f>
        <v>405468.56141316006</v>
      </c>
    </row>
    <row r="13" spans="1:5" x14ac:dyDescent="0.55000000000000004">
      <c r="A13" s="10">
        <v>2028</v>
      </c>
      <c r="B13" s="11">
        <f>Assumptions!$C$7*Assumptions!$B$4*(1+Assumptions!$D$7)^($A13-Assumptions!$B$7)</f>
        <v>10075.317875873405</v>
      </c>
      <c r="C13" s="11">
        <f>Assumptions!$C$8*Assumptions!$B$4*(1+Assumptions!$D$8)^($A13-Assumptions!$B$8)</f>
        <v>4352.4413229593601</v>
      </c>
      <c r="D13" s="11">
        <f>Assumptions!$C$9*Assumptions!$B$4*(1+Assumptions!$D$9)^($A13-Assumptions!$B$9)</f>
        <v>120156.04083109921</v>
      </c>
      <c r="E13" s="11">
        <f>Assumptions!$C$10*Assumptions!$B$4*(1+Assumptions!$D$10)^($A13-Assumptions!$B$10)</f>
        <v>438757.53030518058</v>
      </c>
    </row>
    <row r="14" spans="1:5" x14ac:dyDescent="0.55000000000000004">
      <c r="A14" s="10">
        <v>2029</v>
      </c>
      <c r="B14" s="11">
        <f>Assumptions!$C$7*Assumptions!$B$4*(1+Assumptions!$D$7)^($A14-Assumptions!$B$7)</f>
        <v>10900.486409907435</v>
      </c>
      <c r="C14" s="11">
        <f>Assumptions!$C$8*Assumptions!$B$4*(1+Assumptions!$D$8)^($A14-Assumptions!$B$8)</f>
        <v>4887.7916056833619</v>
      </c>
      <c r="D14" s="11">
        <f>Assumptions!$C$9*Assumptions!$B$4*(1+Assumptions!$D$9)^($A14-Assumptions!$B$9)</f>
        <v>133012.73720002684</v>
      </c>
      <c r="E14" s="11">
        <f>Assumptions!$C$10*Assumptions!$B$4*(1+Assumptions!$D$10)^($A14-Assumptions!$B$10)</f>
        <v>474779.52354323585</v>
      </c>
    </row>
    <row r="15" spans="1:5" x14ac:dyDescent="0.55000000000000004">
      <c r="A15" s="10">
        <v>2030</v>
      </c>
      <c r="B15" s="11">
        <f>Assumptions!$C$7*Assumptions!$B$4*(1+Assumptions!$D$7)^($A15-Assumptions!$B$7)</f>
        <v>11793.236246878854</v>
      </c>
      <c r="C15" s="11">
        <f>Assumptions!$C$8*Assumptions!$B$4*(1+Assumptions!$D$8)^($A15-Assumptions!$B$8)</f>
        <v>5488.9899731824153</v>
      </c>
      <c r="D15" s="11">
        <f>Assumptions!$C$9*Assumptions!$B$4*(1+Assumptions!$D$9)^($A15-Assumptions!$B$9)</f>
        <v>147245.10008042969</v>
      </c>
      <c r="E15" s="11">
        <f>Assumptions!$C$10*Assumptions!$B$4*(1+Assumptions!$D$10)^($A15-Assumptions!$B$10)</f>
        <v>513758.92242613551</v>
      </c>
    </row>
    <row r="17" spans="1:5" x14ac:dyDescent="0.55000000000000004">
      <c r="A17" s="13" t="s">
        <v>43</v>
      </c>
      <c r="B17" s="14">
        <f>Assumptions!$D$7</f>
        <v>8.1900000000000001E-2</v>
      </c>
      <c r="C17" s="14">
        <f>Assumptions!$D$8</f>
        <v>0.123</v>
      </c>
      <c r="D17" s="14">
        <f>Assumptions!$D$9</f>
        <v>0.107</v>
      </c>
      <c r="E17" s="14">
        <f>Assumptions!$D$10</f>
        <v>8.2100000000000006E-2</v>
      </c>
    </row>
    <row r="18" spans="1:5" x14ac:dyDescent="0.55000000000000004">
      <c r="A18" s="13" t="s">
        <v>44</v>
      </c>
      <c r="B18" s="15">
        <f>Assumptions!$B$7</f>
        <v>2025</v>
      </c>
      <c r="C18" s="15">
        <f>Assumptions!$B$8</f>
        <v>2023</v>
      </c>
      <c r="D18" s="15">
        <f>Assumptions!$B$9</f>
        <v>2024</v>
      </c>
      <c r="E18" s="15">
        <f>Assumptions!$B$10</f>
        <v>2025</v>
      </c>
    </row>
    <row r="20" spans="1:5" ht="28" customHeight="1" x14ac:dyDescent="0.55000000000000004">
      <c r="A20" s="22" t="s">
        <v>45</v>
      </c>
      <c r="B20" s="17"/>
      <c r="C20" s="17"/>
      <c r="D20" s="17"/>
      <c r="E20" s="17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Annual Table (THB Million)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pongsakorn sukheeboon</cp:lastModifiedBy>
  <dcterms:created xsi:type="dcterms:W3CDTF">2026-08-14T13:21:50Z</dcterms:created>
  <dcterms:modified xsi:type="dcterms:W3CDTF">2026-08-14T13:33:13Z</dcterms:modified>
</cp:coreProperties>
</file>